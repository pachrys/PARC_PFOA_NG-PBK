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hrysa.Nynke_private/CP_L_R/PARC_PFOA_mechanistic/Input/"/>
    </mc:Choice>
  </mc:AlternateContent>
  <xr:revisionPtr revIDLastSave="350" documentId="8_{9F8F1050-7464-48FE-993A-42AA76CDA599}" xr6:coauthVersionLast="47" xr6:coauthVersionMax="47" xr10:uidLastSave="{BF241079-A804-49D8-8235-7A7357ABF260}"/>
  <bookViews>
    <workbookView xWindow="-23136" yWindow="-5280" windowWidth="11712" windowHeight="12336" xr2:uid="{8B755656-890E-4004-B586-F26C217A2676}"/>
  </bookViews>
  <sheets>
    <sheet name="Parameters.GSA" sheetId="1" r:id="rId1"/>
  </sheets>
  <definedNames>
    <definedName name="_xlnm._FilterDatabase" localSheetId="0" hidden="1">Parameters.GSA!$A$1:$J$52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K10" i="1"/>
  <c r="K8" i="1"/>
  <c r="K6" i="1"/>
  <c r="K18" i="1"/>
  <c r="K4" i="1"/>
  <c r="H27" i="1"/>
  <c r="H28" i="1"/>
  <c r="F29" i="1"/>
  <c r="I29" i="1"/>
  <c r="H29" i="1"/>
  <c r="H38" i="1"/>
  <c r="H43" i="1"/>
  <c r="H44" i="1"/>
  <c r="H50" i="1"/>
  <c r="H47" i="1"/>
  <c r="H45" i="1"/>
  <c r="I47" i="1"/>
  <c r="I50" i="1"/>
  <c r="I51" i="1"/>
  <c r="H51" i="1"/>
  <c r="I44" i="1"/>
  <c r="I43" i="1"/>
  <c r="I38" i="1"/>
  <c r="H37" i="1"/>
  <c r="H40" i="1"/>
  <c r="H42" i="1"/>
  <c r="H46" i="1"/>
  <c r="H48" i="1"/>
  <c r="H49" i="1"/>
  <c r="H35" i="1"/>
  <c r="F27" i="1"/>
  <c r="F49" i="1"/>
  <c r="I49" i="1" s="1"/>
  <c r="F48" i="1"/>
  <c r="I48" i="1" s="1"/>
  <c r="F46" i="1"/>
  <c r="I46" i="1" s="1"/>
  <c r="F45" i="1"/>
  <c r="I45" i="1" s="1"/>
  <c r="F42" i="1"/>
  <c r="I42" i="1" s="1"/>
  <c r="E41" i="1"/>
  <c r="F41" i="1" s="1"/>
  <c r="F37" i="1"/>
  <c r="F40" i="1"/>
  <c r="I40" i="1" s="1"/>
  <c r="E39" i="1"/>
  <c r="F39" i="1" s="1"/>
  <c r="F35" i="1"/>
  <c r="E36" i="1"/>
  <c r="F36" i="1" s="1"/>
  <c r="I39" i="1" l="1"/>
  <c r="I41" i="1"/>
  <c r="H39" i="1"/>
  <c r="H41" i="1"/>
  <c r="H36" i="1"/>
</calcChain>
</file>

<file path=xl/sharedStrings.xml><?xml version="1.0" encoding="utf-8"?>
<sst xmlns="http://schemas.openxmlformats.org/spreadsheetml/2006/main" count="315" uniqueCount="151">
  <si>
    <t>Parameter</t>
  </si>
  <si>
    <t>Abbreviation</t>
  </si>
  <si>
    <t>Units</t>
  </si>
  <si>
    <t>Initial_value</t>
  </si>
  <si>
    <t>Std</t>
  </si>
  <si>
    <t>CV</t>
  </si>
  <si>
    <t>Distribution</t>
  </si>
  <si>
    <t>Binf</t>
  </si>
  <si>
    <t>Bsup</t>
  </si>
  <si>
    <t>Reference</t>
  </si>
  <si>
    <t xml:space="preserve">Body weight </t>
  </si>
  <si>
    <t>BW</t>
  </si>
  <si>
    <t>kg</t>
  </si>
  <si>
    <t>NA</t>
  </si>
  <si>
    <t>ICRP 89</t>
  </si>
  <si>
    <t>Cardiac output</t>
  </si>
  <si>
    <t>QC</t>
  </si>
  <si>
    <t>L/day</t>
  </si>
  <si>
    <t>Hematocrit</t>
  </si>
  <si>
    <t>Hct</t>
  </si>
  <si>
    <t>Fractional volume of intestine</t>
  </si>
  <si>
    <t>VIc</t>
  </si>
  <si>
    <t>Fractional volume of intestinal lumen</t>
  </si>
  <si>
    <t>VILc</t>
  </si>
  <si>
    <t>Surface area of the small intestine</t>
  </si>
  <si>
    <t>cm2</t>
  </si>
  <si>
    <t>Calculated  based on Willmann et al. 2004 doi: 10.1021/jm030999b</t>
  </si>
  <si>
    <t>Fractional volume of liver</t>
  </si>
  <si>
    <t>VLc</t>
  </si>
  <si>
    <t>Fractional volume of live intracellular space</t>
  </si>
  <si>
    <t>VL_icc</t>
  </si>
  <si>
    <t>Calculated based on Utsey et al. 2020 https://doi.org/10.1124/dmd.120.090498</t>
  </si>
  <si>
    <t>Fractional volume of liver extracellular space</t>
  </si>
  <si>
    <t>VL_ecc</t>
  </si>
  <si>
    <t>Calculated based on Utsey et al. 2020 https://doi.org/10.1124/dmd.120.090499</t>
  </si>
  <si>
    <t>Fractional volume of kidney</t>
  </si>
  <si>
    <t>VKc</t>
  </si>
  <si>
    <t>Fractional volume of  proximal tubule</t>
  </si>
  <si>
    <t>VPTc</t>
  </si>
  <si>
    <t>Calculated based on Pletz et al. 2020 https://doi.org/10.1016/j.comtox.2021.100172</t>
  </si>
  <si>
    <t>Fractional volume of proximal tubule tissue</t>
  </si>
  <si>
    <t>VPTTc</t>
  </si>
  <si>
    <t>Calculated based on Pletz et al. 2020 https://doi.org/10.1016/j.comtox.2021.100173</t>
  </si>
  <si>
    <t>Fractional volume of proximal tubule lumen</t>
  </si>
  <si>
    <t>VPTLc</t>
  </si>
  <si>
    <t>Calculated based on Pletz et al. 2020 https://doi.org/10.1016/j.comtox.2021.100174</t>
  </si>
  <si>
    <t>Fractional volume of rest of kidney lumen</t>
  </si>
  <si>
    <t>VRKLc</t>
  </si>
  <si>
    <t>Calculated based on Pletz et al. 2020 https://doi.org/10.1016/j.comtox.2021.100175</t>
  </si>
  <si>
    <t>Fractional volume of adipose</t>
  </si>
  <si>
    <t>VAc</t>
  </si>
  <si>
    <t>Adipose mass</t>
  </si>
  <si>
    <t>MAc</t>
  </si>
  <si>
    <t>Fractional volume of plasma</t>
  </si>
  <si>
    <t>VPc</t>
  </si>
  <si>
    <t>Fractional blood flow to the gut</t>
  </si>
  <si>
    <t>QIc</t>
  </si>
  <si>
    <t>Fractional blood flow to the liver</t>
  </si>
  <si>
    <t>QLc</t>
  </si>
  <si>
    <t>Fractional blood flow to the kidney</t>
  </si>
  <si>
    <t>QKc</t>
  </si>
  <si>
    <t>Fractional blood flow to the adipose</t>
  </si>
  <si>
    <t>QAc</t>
  </si>
  <si>
    <t>Fractional urine flow rate</t>
  </si>
  <si>
    <t>QUrc</t>
  </si>
  <si>
    <t>Scotcher et al. 2016 https://doi.org/10.1016/j.ejps.2016.03.018  Pletz et al. 2020 https://doi.org/10.1016/j.comtox.2021.100175</t>
  </si>
  <si>
    <t>Colonic transit time</t>
  </si>
  <si>
    <t>tco</t>
  </si>
  <si>
    <t>/day</t>
  </si>
  <si>
    <t>Willmann 2004 10.1021/jm030999b</t>
  </si>
  <si>
    <t>Plasma to proximal tubule lumen albumin concentration ratio</t>
  </si>
  <si>
    <t>R_PTL</t>
  </si>
  <si>
    <t>Calculated based on albumin concentrations in the proximal tubule lumen from Tojo and Satoshi  2012 doi:10.1155/2012/481520</t>
  </si>
  <si>
    <t>Plasma to liver albumin concentration ratio</t>
  </si>
  <si>
    <t>Utsey et al. 2020 https://doi.org/10.1124/dmd.120.090498</t>
  </si>
  <si>
    <t>PFOA Fraction unbound in plasma</t>
  </si>
  <si>
    <t>fup</t>
  </si>
  <si>
    <t>Fischer et al. 2024 DOI: 10.1021/acs.est.3c07415. Experimentally derived fup ranges from 0.00061 to 0.00245. Given the high binding affinity of PFOA to plasma proteins most of the conventional methods could be under-predicting the fraction unbound. It was considered that the SPME method and results were the most accurate. (References: Ryu et al. 2024 https://doi.org/10.3390/toxics12040253 Smeltz et al. 2023 doi:10.1021/acs.chemrestox.3c00003. Fischer et al. 2024 DOI: 10.1021/acs.est.3c07415)</t>
  </si>
  <si>
    <t>Uniform</t>
  </si>
  <si>
    <t xml:space="preserve">Calculated based on PFOA equilibrium distribution to tissue constituents from Allendorf et al. 2021 DOI: 10.1002/etc.4954. </t>
  </si>
  <si>
    <t>PFOA Partition coefficient to the intestine</t>
  </si>
  <si>
    <t>PIc</t>
  </si>
  <si>
    <t>PFOA Partition coefficient to the liver</t>
  </si>
  <si>
    <t>PLc</t>
  </si>
  <si>
    <t>PFOA Partition coefficient to the kidney</t>
  </si>
  <si>
    <t>PKc</t>
  </si>
  <si>
    <t>PFOA Partition coefficient to the adipose</t>
  </si>
  <si>
    <t>PAc</t>
  </si>
  <si>
    <t>PFOA Partition coefficient to the rest compartment</t>
  </si>
  <si>
    <t>PRc</t>
  </si>
  <si>
    <t>PFOA Apparent permeability from the small intestine</t>
  </si>
  <si>
    <t>Papp_SI</t>
  </si>
  <si>
    <t>cm/s</t>
  </si>
  <si>
    <t>Janssen et al. 2024 https://doi.org/10.1007/s00204-024-03851-x</t>
  </si>
  <si>
    <t>PFOA OATP1B1 Transporter maximum velocity</t>
  </si>
  <si>
    <t>Vmax_OATP1B1c</t>
  </si>
  <si>
    <t>umol/min/mg protein</t>
  </si>
  <si>
    <t>Lin 2023 https://doi.org/10.1021/acs.est.2c05642</t>
  </si>
  <si>
    <t>PFOA OATP1B1 Transporter affinity</t>
  </si>
  <si>
    <t>Km_OATP1B1c</t>
  </si>
  <si>
    <t>ug/L</t>
  </si>
  <si>
    <t>Lin 2023 https://doi.org/10.1021/acs.est.2c05643</t>
  </si>
  <si>
    <t>PFOA OATP1B3 Transporter maximum velocity</t>
  </si>
  <si>
    <t>Vmax_OATP1B3c</t>
  </si>
  <si>
    <t>Lin 2023 https://doi.org/10.1021/acs.est.2c05644</t>
  </si>
  <si>
    <t>PFOA OATP1B3 Transporter affinity</t>
  </si>
  <si>
    <t>Km_OATP1B3c</t>
  </si>
  <si>
    <t>Lin 2023 https://doi.org/10.1021/acs.est.2c05645</t>
  </si>
  <si>
    <t>OATP1B1 IVIVE Scaling factor</t>
  </si>
  <si>
    <t>SF_OATP1B1</t>
  </si>
  <si>
    <t>Calculated based on OATP1B1 REF</t>
  </si>
  <si>
    <t>OATP1B3 IVIVE Scaling factor</t>
  </si>
  <si>
    <t>SF_OATP1B3</t>
  </si>
  <si>
    <t>Calculated based on OATP1B3 REF</t>
  </si>
  <si>
    <t>PFOA BSEP Transporter maximum velocity</t>
  </si>
  <si>
    <t>umol/min/mg BSEP</t>
  </si>
  <si>
    <t>Calculated based on OATP1B REF</t>
  </si>
  <si>
    <t>PFOA BSEP Transporter affinity</t>
  </si>
  <si>
    <t>De Bruijn et al 2024 https://doi.org/10.14573/altex.2302012</t>
  </si>
  <si>
    <t>BSEP IVIVE Scaling factor</t>
  </si>
  <si>
    <t>SF_BSEP</t>
  </si>
  <si>
    <t>De Bruijn et al 2024 https://doi.org/10.14573/altex.2302013</t>
  </si>
  <si>
    <t>PFOA OAT4 Tranposter maximum velocity</t>
  </si>
  <si>
    <t>Vmax_OAT4c</t>
  </si>
  <si>
    <t>Louisse et al. 2024 doi.org/10.1016/j.tox.2024.153961</t>
  </si>
  <si>
    <t>PFOA OAT4 Transporter affinity</t>
  </si>
  <si>
    <t>Km_OAT4c</t>
  </si>
  <si>
    <t>Calculated based on OAT Relative expression factor</t>
  </si>
  <si>
    <t>Time to stop the exposure</t>
  </si>
  <si>
    <t>day</t>
  </si>
  <si>
    <t xml:space="preserve">Oral concentration </t>
  </si>
  <si>
    <t>ug/kg/day</t>
  </si>
  <si>
    <t>EFSA 2020</t>
  </si>
  <si>
    <t>R_L_ec</t>
  </si>
  <si>
    <t>expOral</t>
  </si>
  <si>
    <t>expSTOP</t>
  </si>
  <si>
    <t>SA_SIc</t>
  </si>
  <si>
    <t>Relative tubular fluid flow rate</t>
  </si>
  <si>
    <t>QTc</t>
  </si>
  <si>
    <t>GFR</t>
  </si>
  <si>
    <t>Glomerular filtration rate</t>
  </si>
  <si>
    <t>Vmax_OATP2B1c</t>
  </si>
  <si>
    <t>Km_OATP2B1c</t>
  </si>
  <si>
    <t>SF_OATP2B1</t>
  </si>
  <si>
    <t>PFOA OATP2B1 Transporter maximum velocity</t>
  </si>
  <si>
    <t>PFOA OATP2B1 Transporter affinity</t>
  </si>
  <si>
    <t>OATP2B1 IVIVE Scaling factor</t>
  </si>
  <si>
    <t>SF_OAT4</t>
  </si>
  <si>
    <t>OAT4 IVIVE Scaling factor</t>
  </si>
  <si>
    <t>Vmax_BSEPc</t>
  </si>
  <si>
    <t>Km_BSEPc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</si>
</sst>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7" fillId="3" borderId="0" xfId="7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F6B3-7424-4572-8CEB-2855C0B6D4A8}">
  <dimension ref="A1:N52"/>
  <sheetViews>
    <sheetView tabSelected="1" zoomScale="75" workbookViewId="0">
      <selection activeCell="D2" sqref="D2"/>
    </sheetView>
  </sheetViews>
  <sheetFormatPr defaultRowHeight="14.5" x14ac:dyDescent="0.35"/>
  <cols>
    <col min="1" max="1" width="42" customWidth="1"/>
    <col min="2" max="2" width="24" customWidth="1"/>
    <col min="4" max="4" width="13.81640625" bestFit="1" customWidth="1"/>
    <col min="5" max="6" width="9.7265625" bestFit="1" customWidth="1"/>
    <col min="7" max="7" width="11.26953125" customWidth="1"/>
    <col min="8" max="8" width="15.453125" bestFit="1" customWidth="1"/>
    <col min="9" max="9" width="12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 t="s">
        <v>10</v>
      </c>
      <c r="B2" t="s">
        <v>11</v>
      </c>
      <c r="C2" t="s">
        <v>12</v>
      </c>
      <c r="D2" s="1">
        <v>80.125634160000004</v>
      </c>
      <c r="E2" t="s">
        <v>13</v>
      </c>
      <c r="F2">
        <v>0.1</v>
      </c>
      <c r="G2" s="2" t="s">
        <v>78</v>
      </c>
      <c r="H2" s="3">
        <v>72.113070744000012</v>
      </c>
      <c r="I2" s="3">
        <v>88.13819757600001</v>
      </c>
      <c r="J2" t="s">
        <v>14</v>
      </c>
    </row>
    <row r="3" spans="1:11" x14ac:dyDescent="0.35">
      <c r="A3" t="s">
        <v>15</v>
      </c>
      <c r="B3" t="s">
        <v>16</v>
      </c>
      <c r="C3" t="s">
        <v>17</v>
      </c>
      <c r="D3" s="1">
        <v>5388.2618719586399</v>
      </c>
      <c r="E3" t="s">
        <v>13</v>
      </c>
      <c r="F3">
        <v>0.1</v>
      </c>
      <c r="G3" s="2" t="s">
        <v>78</v>
      </c>
      <c r="H3" s="3">
        <v>4849.435684762776</v>
      </c>
      <c r="I3" s="3">
        <v>5927.0880591545047</v>
      </c>
      <c r="J3" t="s">
        <v>14</v>
      </c>
    </row>
    <row r="4" spans="1:11" x14ac:dyDescent="0.35">
      <c r="A4" t="s">
        <v>18</v>
      </c>
      <c r="B4" t="s">
        <v>19</v>
      </c>
      <c r="C4" t="s">
        <v>13</v>
      </c>
      <c r="D4" s="1">
        <v>0.42678722450000001</v>
      </c>
      <c r="E4" t="s">
        <v>13</v>
      </c>
      <c r="F4">
        <v>0.1</v>
      </c>
      <c r="G4" s="2" t="s">
        <v>78</v>
      </c>
      <c r="H4" s="3">
        <v>0.38410850205000002</v>
      </c>
      <c r="I4" s="3">
        <v>0.46946594695000005</v>
      </c>
      <c r="J4" t="s">
        <v>14</v>
      </c>
      <c r="K4">
        <f>_xlfn.STDEV.S(H4,D4,I4)</f>
        <v>4.2678722450000012E-2</v>
      </c>
    </row>
    <row r="5" spans="1:11" x14ac:dyDescent="0.35">
      <c r="A5" t="s">
        <v>20</v>
      </c>
      <c r="B5" t="s">
        <v>21</v>
      </c>
      <c r="C5" t="s">
        <v>13</v>
      </c>
      <c r="D5" s="1">
        <v>1.4E-2</v>
      </c>
      <c r="E5" t="s">
        <v>13</v>
      </c>
      <c r="F5">
        <v>0.1</v>
      </c>
      <c r="G5" s="2" t="s">
        <v>78</v>
      </c>
      <c r="H5" s="3">
        <v>1.26E-2</v>
      </c>
      <c r="I5" s="3">
        <v>1.5400000000000002E-2</v>
      </c>
      <c r="J5" t="s">
        <v>14</v>
      </c>
    </row>
    <row r="6" spans="1:11" x14ac:dyDescent="0.35">
      <c r="A6" t="s">
        <v>22</v>
      </c>
      <c r="B6" t="s">
        <v>23</v>
      </c>
      <c r="C6" t="s">
        <v>13</v>
      </c>
      <c r="D6" s="1">
        <v>3.8484510006475001E-2</v>
      </c>
      <c r="E6" t="s">
        <v>13</v>
      </c>
      <c r="F6">
        <v>0.1</v>
      </c>
      <c r="G6" s="2" t="s">
        <v>78</v>
      </c>
      <c r="H6" s="3">
        <v>3.4636059005827502E-2</v>
      </c>
      <c r="I6" s="3">
        <v>4.2332961007122506E-2</v>
      </c>
      <c r="J6" t="s">
        <v>14</v>
      </c>
      <c r="K6">
        <f>_xlfn.STDEV.S(H6,I6,D6)</f>
        <v>3.8484510006475021E-3</v>
      </c>
    </row>
    <row r="7" spans="1:11" x14ac:dyDescent="0.35">
      <c r="A7" t="s">
        <v>24</v>
      </c>
      <c r="B7" t="s">
        <v>136</v>
      </c>
      <c r="C7" t="s">
        <v>25</v>
      </c>
      <c r="D7" s="1">
        <v>1099.55742875643</v>
      </c>
      <c r="E7" t="s">
        <v>13</v>
      </c>
      <c r="F7">
        <v>0.1</v>
      </c>
      <c r="G7" s="2" t="s">
        <v>78</v>
      </c>
      <c r="H7" s="3">
        <v>989.60168588078704</v>
      </c>
      <c r="I7" s="3">
        <v>1209.5131716320732</v>
      </c>
      <c r="J7" t="s">
        <v>26</v>
      </c>
    </row>
    <row r="8" spans="1:11" x14ac:dyDescent="0.35">
      <c r="A8" t="s">
        <v>27</v>
      </c>
      <c r="B8" t="s">
        <v>28</v>
      </c>
      <c r="C8" t="s">
        <v>13</v>
      </c>
      <c r="D8" s="1">
        <v>2.4723400713684101E-2</v>
      </c>
      <c r="E8" t="s">
        <v>13</v>
      </c>
      <c r="F8">
        <v>0.1</v>
      </c>
      <c r="G8" s="2" t="s">
        <v>78</v>
      </c>
      <c r="H8" s="3">
        <v>2.225106064231569E-2</v>
      </c>
      <c r="I8" s="3">
        <v>2.7195740785052512E-2</v>
      </c>
      <c r="J8" t="s">
        <v>14</v>
      </c>
      <c r="K8">
        <f>_xlfn.STDEV.S(H8,I8,D8)</f>
        <v>2.4723400713684111E-3</v>
      </c>
    </row>
    <row r="9" spans="1:11" x14ac:dyDescent="0.35">
      <c r="A9" t="s">
        <v>29</v>
      </c>
      <c r="B9" t="s">
        <v>30</v>
      </c>
      <c r="C9" t="s">
        <v>13</v>
      </c>
      <c r="D9" s="1">
        <v>0.57299999999999995</v>
      </c>
      <c r="E9" t="s">
        <v>13</v>
      </c>
      <c r="F9">
        <v>0.1</v>
      </c>
      <c r="G9" s="2" t="s">
        <v>78</v>
      </c>
      <c r="H9" s="3">
        <v>0.51569999999999994</v>
      </c>
      <c r="I9" s="3">
        <v>0.63029999999999997</v>
      </c>
      <c r="J9" t="s">
        <v>31</v>
      </c>
    </row>
    <row r="10" spans="1:11" x14ac:dyDescent="0.35">
      <c r="A10" t="s">
        <v>32</v>
      </c>
      <c r="B10" t="s">
        <v>33</v>
      </c>
      <c r="C10" t="s">
        <v>13</v>
      </c>
      <c r="D10" s="1">
        <v>0.42699999999999999</v>
      </c>
      <c r="E10" t="s">
        <v>13</v>
      </c>
      <c r="F10">
        <v>0.1</v>
      </c>
      <c r="G10" s="2" t="s">
        <v>78</v>
      </c>
      <c r="H10" s="3">
        <v>0.38429999999999997</v>
      </c>
      <c r="I10" s="3">
        <v>0.46970000000000001</v>
      </c>
      <c r="J10" t="s">
        <v>34</v>
      </c>
      <c r="K10">
        <f>_xlfn.STDEV.S(H10,I10,D10)</f>
        <v>4.2700000000000016E-2</v>
      </c>
    </row>
    <row r="11" spans="1:11" x14ac:dyDescent="0.35">
      <c r="A11" t="s">
        <v>35</v>
      </c>
      <c r="B11" t="s">
        <v>36</v>
      </c>
      <c r="C11" t="s">
        <v>13</v>
      </c>
      <c r="D11" s="1">
        <v>4.2071843846556E-3</v>
      </c>
      <c r="E11" t="s">
        <v>13</v>
      </c>
      <c r="F11">
        <v>0.1</v>
      </c>
      <c r="G11" s="2" t="s">
        <v>78</v>
      </c>
      <c r="H11" s="3">
        <v>3.7864659461900401E-3</v>
      </c>
      <c r="I11" s="3">
        <v>4.6279028231211604E-3</v>
      </c>
      <c r="J11" t="s">
        <v>14</v>
      </c>
    </row>
    <row r="12" spans="1:11" x14ac:dyDescent="0.35">
      <c r="A12" t="s">
        <v>37</v>
      </c>
      <c r="B12" t="s">
        <v>38</v>
      </c>
      <c r="C12" t="s">
        <v>13</v>
      </c>
      <c r="D12" s="1">
        <v>0.39800000000000002</v>
      </c>
      <c r="E12" t="s">
        <v>13</v>
      </c>
      <c r="F12">
        <v>0.1</v>
      </c>
      <c r="G12" s="2" t="s">
        <v>78</v>
      </c>
      <c r="H12" s="3">
        <v>0.35820000000000002</v>
      </c>
      <c r="I12" s="3">
        <v>0.43780000000000008</v>
      </c>
      <c r="J12" t="s">
        <v>39</v>
      </c>
    </row>
    <row r="13" spans="1:11" x14ac:dyDescent="0.35">
      <c r="A13" t="s">
        <v>40</v>
      </c>
      <c r="B13" t="s">
        <v>41</v>
      </c>
      <c r="C13" t="s">
        <v>13</v>
      </c>
      <c r="D13" s="1">
        <v>0.53853015024350004</v>
      </c>
      <c r="E13" t="s">
        <v>13</v>
      </c>
      <c r="F13">
        <v>0.1</v>
      </c>
      <c r="G13" s="2" t="s">
        <v>78</v>
      </c>
      <c r="H13" s="3">
        <v>0.48467713521915007</v>
      </c>
      <c r="I13" s="3">
        <v>0.59238316526785006</v>
      </c>
      <c r="J13" t="s">
        <v>42</v>
      </c>
    </row>
    <row r="14" spans="1:11" x14ac:dyDescent="0.35">
      <c r="A14" t="s">
        <v>43</v>
      </c>
      <c r="B14" t="s">
        <v>44</v>
      </c>
      <c r="C14" t="s">
        <v>13</v>
      </c>
      <c r="D14" s="1">
        <v>0.40300000000000002</v>
      </c>
      <c r="E14" t="s">
        <v>13</v>
      </c>
      <c r="F14">
        <v>0.1</v>
      </c>
      <c r="G14" s="2" t="s">
        <v>78</v>
      </c>
      <c r="H14" s="3">
        <v>0.36270000000000002</v>
      </c>
      <c r="I14" s="3">
        <v>0.44330000000000008</v>
      </c>
      <c r="J14" t="s">
        <v>45</v>
      </c>
    </row>
    <row r="15" spans="1:11" x14ac:dyDescent="0.35">
      <c r="A15" t="s">
        <v>46</v>
      </c>
      <c r="B15" t="s">
        <v>47</v>
      </c>
      <c r="C15" t="s">
        <v>13</v>
      </c>
      <c r="D15" s="1">
        <v>0.28299999999999997</v>
      </c>
      <c r="E15" t="s">
        <v>13</v>
      </c>
      <c r="F15">
        <v>0.1</v>
      </c>
      <c r="G15" s="2" t="s">
        <v>78</v>
      </c>
      <c r="H15" s="3">
        <v>0.25469999999999998</v>
      </c>
      <c r="I15" s="3">
        <v>0.31130000000000002</v>
      </c>
      <c r="J15" t="s">
        <v>48</v>
      </c>
    </row>
    <row r="16" spans="1:11" x14ac:dyDescent="0.35">
      <c r="A16" t="s">
        <v>49</v>
      </c>
      <c r="B16" t="s">
        <v>50</v>
      </c>
      <c r="C16" t="s">
        <v>13</v>
      </c>
      <c r="D16" s="1">
        <v>0.220921629240208</v>
      </c>
      <c r="E16" t="s">
        <v>13</v>
      </c>
      <c r="F16">
        <v>0.1</v>
      </c>
      <c r="G16" s="2" t="s">
        <v>78</v>
      </c>
      <c r="H16" s="3">
        <v>0.1988294663161872</v>
      </c>
      <c r="I16" s="3">
        <v>0.24301379216422883</v>
      </c>
      <c r="J16" t="s">
        <v>14</v>
      </c>
    </row>
    <row r="17" spans="1:14" x14ac:dyDescent="0.35">
      <c r="A17" t="s">
        <v>51</v>
      </c>
      <c r="B17" t="s">
        <v>52</v>
      </c>
      <c r="C17" t="s">
        <v>13</v>
      </c>
      <c r="D17" s="1">
        <v>5.9641275723333003</v>
      </c>
      <c r="E17" t="s">
        <v>13</v>
      </c>
      <c r="F17">
        <v>0.1</v>
      </c>
      <c r="G17" s="2" t="s">
        <v>78</v>
      </c>
      <c r="H17" s="3">
        <v>5.3677148150999701</v>
      </c>
      <c r="I17" s="3">
        <v>6.5605403295666305</v>
      </c>
      <c r="J17" t="s">
        <v>14</v>
      </c>
    </row>
    <row r="18" spans="1:14" x14ac:dyDescent="0.35">
      <c r="A18" t="s">
        <v>53</v>
      </c>
      <c r="B18" t="s">
        <v>54</v>
      </c>
      <c r="C18" t="s">
        <v>13</v>
      </c>
      <c r="D18" s="1">
        <v>7.6099999086156098E-2</v>
      </c>
      <c r="E18" t="s">
        <v>13</v>
      </c>
      <c r="F18">
        <v>0.1</v>
      </c>
      <c r="G18" s="2" t="s">
        <v>78</v>
      </c>
      <c r="H18" s="3">
        <v>6.8489999177540492E-2</v>
      </c>
      <c r="I18" s="3">
        <v>8.3709998994771717E-2</v>
      </c>
      <c r="J18" t="s">
        <v>14</v>
      </c>
      <c r="K18">
        <f>_xlfn.STDEV.S(H18,I18,D18)</f>
        <v>7.6099999086156125E-3</v>
      </c>
    </row>
    <row r="19" spans="1:14" x14ac:dyDescent="0.35">
      <c r="A19" t="s">
        <v>55</v>
      </c>
      <c r="B19" t="s">
        <v>56</v>
      </c>
      <c r="C19" t="s">
        <v>13</v>
      </c>
      <c r="D19" s="1">
        <v>0.14399999999999999</v>
      </c>
      <c r="E19" t="s">
        <v>13</v>
      </c>
      <c r="F19">
        <v>0.1</v>
      </c>
      <c r="G19" s="2" t="s">
        <v>78</v>
      </c>
      <c r="H19" s="3">
        <v>0.12959999999999999</v>
      </c>
      <c r="I19" s="3">
        <v>0.15840000000000001</v>
      </c>
      <c r="J19" t="s">
        <v>14</v>
      </c>
    </row>
    <row r="20" spans="1:14" x14ac:dyDescent="0.35">
      <c r="A20" t="s">
        <v>57</v>
      </c>
      <c r="B20" t="s">
        <v>58</v>
      </c>
      <c r="C20" t="s">
        <v>13</v>
      </c>
      <c r="D20" s="1">
        <v>6.5061580825484605E-2</v>
      </c>
      <c r="E20" t="s">
        <v>13</v>
      </c>
      <c r="F20">
        <v>0.1</v>
      </c>
      <c r="G20" s="2" t="s">
        <v>78</v>
      </c>
      <c r="H20" s="3">
        <v>5.8555422742936146E-2</v>
      </c>
      <c r="I20" s="3">
        <v>7.1567738908033071E-2</v>
      </c>
      <c r="J20" t="s">
        <v>14</v>
      </c>
    </row>
    <row r="21" spans="1:14" x14ac:dyDescent="0.35">
      <c r="A21" t="s">
        <v>59</v>
      </c>
      <c r="B21" t="s">
        <v>60</v>
      </c>
      <c r="C21" t="s">
        <v>13</v>
      </c>
      <c r="D21" s="1">
        <v>0.196335271283928</v>
      </c>
      <c r="E21" t="s">
        <v>13</v>
      </c>
      <c r="F21">
        <v>0.1</v>
      </c>
      <c r="G21" s="2" t="s">
        <v>78</v>
      </c>
      <c r="H21" s="3">
        <v>0.17670174415553519</v>
      </c>
      <c r="I21" s="3">
        <v>0.21596879841232081</v>
      </c>
      <c r="J21" t="s">
        <v>14</v>
      </c>
    </row>
    <row r="22" spans="1:14" x14ac:dyDescent="0.35">
      <c r="A22" t="s">
        <v>61</v>
      </c>
      <c r="B22" t="s">
        <v>62</v>
      </c>
      <c r="C22" t="s">
        <v>13</v>
      </c>
      <c r="D22" s="1">
        <v>5.74396236024542E-2</v>
      </c>
      <c r="E22" t="s">
        <v>13</v>
      </c>
      <c r="F22">
        <v>0.1</v>
      </c>
      <c r="G22" s="2" t="s">
        <v>78</v>
      </c>
      <c r="H22" s="3">
        <v>5.1695661242208778E-2</v>
      </c>
      <c r="I22" s="3">
        <v>6.3183585962699629E-2</v>
      </c>
      <c r="J22" t="s">
        <v>14</v>
      </c>
    </row>
    <row r="23" spans="1:14" x14ac:dyDescent="0.35">
      <c r="A23" t="s">
        <v>63</v>
      </c>
      <c r="B23" t="s">
        <v>64</v>
      </c>
      <c r="C23" t="s">
        <v>13</v>
      </c>
      <c r="D23" s="1">
        <v>2.1999999999999999E-2</v>
      </c>
      <c r="E23" t="s">
        <v>13</v>
      </c>
      <c r="F23">
        <v>0.1</v>
      </c>
      <c r="G23" s="2" t="s">
        <v>78</v>
      </c>
      <c r="H23" s="3">
        <v>1.9799999999999998E-2</v>
      </c>
      <c r="I23" s="3">
        <v>2.4199999999999999E-2</v>
      </c>
      <c r="J23" t="s">
        <v>14</v>
      </c>
    </row>
    <row r="24" spans="1:14" x14ac:dyDescent="0.35">
      <c r="A24" t="s">
        <v>140</v>
      </c>
      <c r="B24" t="s">
        <v>139</v>
      </c>
      <c r="C24" t="s">
        <v>13</v>
      </c>
      <c r="D24" s="1">
        <v>182.59130947959801</v>
      </c>
      <c r="E24" t="s">
        <v>13</v>
      </c>
      <c r="F24">
        <v>0.1</v>
      </c>
      <c r="G24" s="2" t="s">
        <v>78</v>
      </c>
      <c r="H24" s="3">
        <v>164.33217853163822</v>
      </c>
      <c r="I24" s="3">
        <v>200.85044042755783</v>
      </c>
      <c r="J24" t="s">
        <v>14</v>
      </c>
    </row>
    <row r="25" spans="1:14" x14ac:dyDescent="0.35">
      <c r="A25" t="s">
        <v>137</v>
      </c>
      <c r="B25" t="s">
        <v>138</v>
      </c>
      <c r="C25" t="s">
        <v>17</v>
      </c>
      <c r="D25" s="1">
        <v>0.36</v>
      </c>
      <c r="E25" t="s">
        <v>13</v>
      </c>
      <c r="F25">
        <v>0.1</v>
      </c>
      <c r="G25" s="2" t="s">
        <v>78</v>
      </c>
      <c r="H25" s="3">
        <v>0.32</v>
      </c>
      <c r="I25" s="3">
        <v>0.39600000000000002</v>
      </c>
      <c r="J25" t="s">
        <v>65</v>
      </c>
    </row>
    <row r="26" spans="1:14" x14ac:dyDescent="0.35">
      <c r="A26" t="s">
        <v>66</v>
      </c>
      <c r="B26" t="s">
        <v>67</v>
      </c>
      <c r="C26" t="s">
        <v>68</v>
      </c>
      <c r="D26" s="1">
        <v>3.36</v>
      </c>
      <c r="E26" t="s">
        <v>13</v>
      </c>
      <c r="F26">
        <v>0.1</v>
      </c>
      <c r="G26" s="2" t="s">
        <v>78</v>
      </c>
      <c r="H26" s="3">
        <v>3.02</v>
      </c>
      <c r="I26" s="3">
        <v>3.6960000000000002</v>
      </c>
      <c r="J26" t="s">
        <v>69</v>
      </c>
      <c r="N26">
        <f>_xlfn.STDEV.S(I26,H26,D26)</f>
        <v>0.33800197238083296</v>
      </c>
    </row>
    <row r="27" spans="1:14" x14ac:dyDescent="0.35">
      <c r="A27" t="s">
        <v>70</v>
      </c>
      <c r="B27" t="s">
        <v>71</v>
      </c>
      <c r="C27" t="s">
        <v>13</v>
      </c>
      <c r="D27" s="1">
        <v>2569.4444444444398</v>
      </c>
      <c r="E27" s="1">
        <v>19500</v>
      </c>
      <c r="F27" s="1">
        <f>E27/D27</f>
        <v>7.5891891891892032</v>
      </c>
      <c r="G27" s="2" t="s">
        <v>78</v>
      </c>
      <c r="H27" s="3">
        <f>D27*0.9</f>
        <v>2312.4999999999959</v>
      </c>
      <c r="I27" s="3">
        <v>2826.3888888888841</v>
      </c>
      <c r="J27" t="s">
        <v>72</v>
      </c>
    </row>
    <row r="28" spans="1:14" x14ac:dyDescent="0.35">
      <c r="A28" t="s">
        <v>73</v>
      </c>
      <c r="B28" t="s">
        <v>133</v>
      </c>
      <c r="C28" t="s">
        <v>13</v>
      </c>
      <c r="D28" s="1">
        <v>11.6279069767442</v>
      </c>
      <c r="E28" t="s">
        <v>13</v>
      </c>
      <c r="F28">
        <v>7.0000000000000007E-2</v>
      </c>
      <c r="G28" s="2" t="s">
        <v>78</v>
      </c>
      <c r="H28" s="3">
        <f>0.9*D28</f>
        <v>10.465116279069781</v>
      </c>
      <c r="I28" s="3">
        <v>12.79069767441862</v>
      </c>
      <c r="J28" t="s">
        <v>74</v>
      </c>
    </row>
    <row r="29" spans="1:14" x14ac:dyDescent="0.35">
      <c r="A29" t="s">
        <v>75</v>
      </c>
      <c r="B29" t="s">
        <v>76</v>
      </c>
      <c r="C29" t="s">
        <v>13</v>
      </c>
      <c r="D29" s="1">
        <v>6.0999999999999997E-4</v>
      </c>
      <c r="E29" s="1">
        <v>8.0000000000000004E-4</v>
      </c>
      <c r="F29" s="1">
        <f>E29/D29</f>
        <v>1.3114754098360657</v>
      </c>
      <c r="G29" s="2" t="s">
        <v>78</v>
      </c>
      <c r="H29" s="4">
        <f>D29*0.9</f>
        <v>5.4900000000000001E-4</v>
      </c>
      <c r="I29" s="4">
        <f>D29*1.1</f>
        <v>6.7100000000000005E-4</v>
      </c>
      <c r="J29" t="s">
        <v>77</v>
      </c>
    </row>
    <row r="30" spans="1:14" x14ac:dyDescent="0.35">
      <c r="A30" t="s">
        <v>80</v>
      </c>
      <c r="B30" t="s">
        <v>81</v>
      </c>
      <c r="C30" t="s">
        <v>13</v>
      </c>
      <c r="D30" s="1">
        <v>62.776204468513903</v>
      </c>
      <c r="E30" t="s">
        <v>13</v>
      </c>
      <c r="F30" t="s">
        <v>13</v>
      </c>
      <c r="G30" s="2" t="s">
        <v>78</v>
      </c>
      <c r="H30" s="3">
        <v>56.5</v>
      </c>
      <c r="I30" s="3">
        <v>69.053824915365297</v>
      </c>
      <c r="J30" t="s">
        <v>79</v>
      </c>
    </row>
    <row r="31" spans="1:14" x14ac:dyDescent="0.35">
      <c r="A31" t="s">
        <v>82</v>
      </c>
      <c r="B31" t="s">
        <v>83</v>
      </c>
      <c r="C31" t="s">
        <v>13</v>
      </c>
      <c r="D31" s="1">
        <v>133.53389126713401</v>
      </c>
      <c r="E31" t="s">
        <v>13</v>
      </c>
      <c r="F31" t="s">
        <v>13</v>
      </c>
      <c r="G31" s="2" t="s">
        <v>78</v>
      </c>
      <c r="H31" s="3">
        <v>120.18050214042061</v>
      </c>
      <c r="I31" s="3">
        <v>146.88728039384742</v>
      </c>
      <c r="J31" t="s">
        <v>79</v>
      </c>
    </row>
    <row r="32" spans="1:14" x14ac:dyDescent="0.35">
      <c r="A32" t="s">
        <v>84</v>
      </c>
      <c r="B32" t="s">
        <v>85</v>
      </c>
      <c r="C32" t="s">
        <v>13</v>
      </c>
      <c r="D32" s="1">
        <v>158.313456730377</v>
      </c>
      <c r="E32" t="s">
        <v>13</v>
      </c>
      <c r="F32" t="s">
        <v>13</v>
      </c>
      <c r="G32" s="2" t="s">
        <v>78</v>
      </c>
      <c r="H32" s="3">
        <v>142.4821110573393</v>
      </c>
      <c r="I32" s="3">
        <v>174.1448024034147</v>
      </c>
      <c r="J32" t="s">
        <v>79</v>
      </c>
    </row>
    <row r="33" spans="1:10" x14ac:dyDescent="0.35">
      <c r="A33" t="s">
        <v>86</v>
      </c>
      <c r="B33" t="s">
        <v>87</v>
      </c>
      <c r="C33" t="s">
        <v>13</v>
      </c>
      <c r="D33" s="1">
        <v>179.74627730882</v>
      </c>
      <c r="E33" t="s">
        <v>13</v>
      </c>
      <c r="F33" t="s">
        <v>13</v>
      </c>
      <c r="G33" s="2" t="s">
        <v>78</v>
      </c>
      <c r="H33" s="3">
        <v>161.77164957793801</v>
      </c>
      <c r="I33" s="3">
        <v>197.72090503970202</v>
      </c>
      <c r="J33" t="s">
        <v>79</v>
      </c>
    </row>
    <row r="34" spans="1:10" x14ac:dyDescent="0.35">
      <c r="A34" t="s">
        <v>88</v>
      </c>
      <c r="B34" t="s">
        <v>89</v>
      </c>
      <c r="C34" t="s">
        <v>13</v>
      </c>
      <c r="D34" s="1">
        <v>74.313650643480898</v>
      </c>
      <c r="E34" t="s">
        <v>13</v>
      </c>
      <c r="F34" t="s">
        <v>13</v>
      </c>
      <c r="G34" s="2" t="s">
        <v>78</v>
      </c>
      <c r="H34" s="3">
        <v>66.88</v>
      </c>
      <c r="I34" s="3">
        <v>81.745015707828998</v>
      </c>
      <c r="J34" t="s">
        <v>79</v>
      </c>
    </row>
    <row r="35" spans="1:10" x14ac:dyDescent="0.35">
      <c r="A35" t="s">
        <v>90</v>
      </c>
      <c r="B35" t="s">
        <v>91</v>
      </c>
      <c r="C35" t="s">
        <v>92</v>
      </c>
      <c r="D35" s="1">
        <v>7.3100000000000003E-6</v>
      </c>
      <c r="E35" s="1">
        <v>4.3000000000000001E-7</v>
      </c>
      <c r="F35" s="1">
        <f>E35/D35</f>
        <v>5.8823529411764705E-2</v>
      </c>
      <c r="G35" s="2" t="s">
        <v>78</v>
      </c>
      <c r="H35" s="4">
        <f>D35-E35</f>
        <v>6.8800000000000002E-6</v>
      </c>
      <c r="I35" s="3">
        <v>7.7400000000000004E-6</v>
      </c>
      <c r="J35" t="s">
        <v>93</v>
      </c>
    </row>
    <row r="36" spans="1:10" x14ac:dyDescent="0.35">
      <c r="A36" t="s">
        <v>144</v>
      </c>
      <c r="B36" t="s">
        <v>141</v>
      </c>
      <c r="C36" t="s">
        <v>96</v>
      </c>
      <c r="D36" s="1">
        <v>1.493E-3</v>
      </c>
      <c r="E36" s="1">
        <f>543/1000000</f>
        <v>5.4299999999999997E-4</v>
      </c>
      <c r="F36" s="1">
        <f>E36/D36</f>
        <v>0.36369725385130608</v>
      </c>
      <c r="G36" s="2" t="s">
        <v>78</v>
      </c>
      <c r="H36" s="4">
        <f>D36-E36</f>
        <v>9.5E-4</v>
      </c>
      <c r="I36" s="3">
        <v>2.036E-3</v>
      </c>
      <c r="J36" t="s">
        <v>97</v>
      </c>
    </row>
    <row r="37" spans="1:10" x14ac:dyDescent="0.35">
      <c r="A37" t="s">
        <v>145</v>
      </c>
      <c r="B37" t="s">
        <v>142</v>
      </c>
      <c r="C37" t="s">
        <v>100</v>
      </c>
      <c r="D37" s="1">
        <v>148.68</v>
      </c>
      <c r="E37" s="1">
        <v>132.88999999999999</v>
      </c>
      <c r="F37" s="1">
        <f>E37/D37</f>
        <v>0.89379876244283007</v>
      </c>
      <c r="G37" s="2" t="s">
        <v>78</v>
      </c>
      <c r="H37" s="4">
        <f>D37-E37</f>
        <v>15.79000000000002</v>
      </c>
      <c r="I37" s="3">
        <v>281.57</v>
      </c>
      <c r="J37" t="s">
        <v>101</v>
      </c>
    </row>
    <row r="38" spans="1:10" x14ac:dyDescent="0.35">
      <c r="A38" t="s">
        <v>146</v>
      </c>
      <c r="B38" t="s">
        <v>143</v>
      </c>
      <c r="C38" t="s">
        <v>13</v>
      </c>
      <c r="D38" s="1">
        <v>256157.63546798</v>
      </c>
      <c r="E38" t="s">
        <v>13</v>
      </c>
      <c r="F38" t="s">
        <v>13</v>
      </c>
      <c r="G38" s="2" t="s">
        <v>78</v>
      </c>
      <c r="H38" s="3">
        <f>D38*0.9</f>
        <v>230541.871921182</v>
      </c>
      <c r="I38" s="3">
        <f>D38*1.1</f>
        <v>281773.39901477803</v>
      </c>
      <c r="J38" t="s">
        <v>110</v>
      </c>
    </row>
    <row r="39" spans="1:10" x14ac:dyDescent="0.35">
      <c r="A39" t="s">
        <v>94</v>
      </c>
      <c r="B39" t="s">
        <v>95</v>
      </c>
      <c r="C39" t="s">
        <v>96</v>
      </c>
      <c r="D39" s="1">
        <v>2.3050000000000002E-3</v>
      </c>
      <c r="E39" s="1">
        <f>295/1000000</f>
        <v>2.9500000000000001E-4</v>
      </c>
      <c r="F39" s="1">
        <f>E39/D39</f>
        <v>0.1279826464208243</v>
      </c>
      <c r="G39" s="2" t="s">
        <v>78</v>
      </c>
      <c r="H39" s="4">
        <f>D39-E39</f>
        <v>2.0100000000000001E-3</v>
      </c>
      <c r="I39" s="3">
        <f>E39+F39</f>
        <v>0.12827764642082429</v>
      </c>
      <c r="J39" t="s">
        <v>97</v>
      </c>
    </row>
    <row r="40" spans="1:10" x14ac:dyDescent="0.35">
      <c r="A40" t="s">
        <v>98</v>
      </c>
      <c r="B40" t="s">
        <v>99</v>
      </c>
      <c r="C40" t="s">
        <v>100</v>
      </c>
      <c r="D40" s="1">
        <v>52.65</v>
      </c>
      <c r="E40" s="1">
        <v>23.28</v>
      </c>
      <c r="F40" s="1">
        <f>E40/D40</f>
        <v>0.44216524216524222</v>
      </c>
      <c r="G40" s="2" t="s">
        <v>78</v>
      </c>
      <c r="H40" s="4">
        <f>D40-E40</f>
        <v>29.369999999999997</v>
      </c>
      <c r="I40" s="3">
        <f>E40+F40</f>
        <v>23.722165242165243</v>
      </c>
      <c r="J40" t="s">
        <v>101</v>
      </c>
    </row>
    <row r="41" spans="1:10" x14ac:dyDescent="0.35">
      <c r="A41" t="s">
        <v>102</v>
      </c>
      <c r="B41" t="s">
        <v>103</v>
      </c>
      <c r="C41" t="s">
        <v>96</v>
      </c>
      <c r="D41" s="1">
        <v>2.6940000000000002E-3</v>
      </c>
      <c r="E41" s="1">
        <f>470/1000000</f>
        <v>4.6999999999999999E-4</v>
      </c>
      <c r="F41" s="1">
        <f>E41/D41</f>
        <v>0.17446176688938381</v>
      </c>
      <c r="G41" s="2" t="s">
        <v>78</v>
      </c>
      <c r="H41" s="4">
        <f>D41-E41</f>
        <v>2.2240000000000003E-3</v>
      </c>
      <c r="I41" s="3">
        <f>E41+F41</f>
        <v>0.17493176688938381</v>
      </c>
      <c r="J41" t="s">
        <v>104</v>
      </c>
    </row>
    <row r="42" spans="1:10" x14ac:dyDescent="0.35">
      <c r="A42" t="s">
        <v>105</v>
      </c>
      <c r="B42" t="s">
        <v>106</v>
      </c>
      <c r="C42" t="s">
        <v>100</v>
      </c>
      <c r="D42" s="1">
        <v>91.6</v>
      </c>
      <c r="E42" s="1">
        <v>47.7</v>
      </c>
      <c r="F42" s="1">
        <f>E42/D42</f>
        <v>0.5207423580786027</v>
      </c>
      <c r="G42" s="2" t="s">
        <v>78</v>
      </c>
      <c r="H42" s="4">
        <f>D42-E42</f>
        <v>43.899999999999991</v>
      </c>
      <c r="I42" s="3">
        <f>E42+F42</f>
        <v>48.220742358078603</v>
      </c>
      <c r="J42" t="s">
        <v>107</v>
      </c>
    </row>
    <row r="43" spans="1:10" x14ac:dyDescent="0.35">
      <c r="A43" t="s">
        <v>108</v>
      </c>
      <c r="B43" t="s">
        <v>109</v>
      </c>
      <c r="C43" t="s">
        <v>13</v>
      </c>
      <c r="D43" s="1">
        <v>3000000</v>
      </c>
      <c r="E43" t="s">
        <v>13</v>
      </c>
      <c r="F43" t="s">
        <v>13</v>
      </c>
      <c r="G43" s="2" t="s">
        <v>78</v>
      </c>
      <c r="H43" s="3">
        <f>D43*0.9</f>
        <v>2700000</v>
      </c>
      <c r="I43" s="3">
        <f>D43*1.1</f>
        <v>3300000.0000000005</v>
      </c>
      <c r="J43" t="s">
        <v>110</v>
      </c>
    </row>
    <row r="44" spans="1:10" x14ac:dyDescent="0.35">
      <c r="A44" t="s">
        <v>111</v>
      </c>
      <c r="B44" t="s">
        <v>112</v>
      </c>
      <c r="C44" t="s">
        <v>13</v>
      </c>
      <c r="D44" s="1">
        <v>250347.70514603599</v>
      </c>
      <c r="E44" t="s">
        <v>13</v>
      </c>
      <c r="F44" t="s">
        <v>13</v>
      </c>
      <c r="G44" s="2" t="s">
        <v>78</v>
      </c>
      <c r="H44" s="3">
        <f>D44*0.9</f>
        <v>225312.93463143241</v>
      </c>
      <c r="I44" s="3">
        <f>D44*1.1</f>
        <v>275382.47566063964</v>
      </c>
      <c r="J44" t="s">
        <v>113</v>
      </c>
    </row>
    <row r="45" spans="1:10" x14ac:dyDescent="0.35">
      <c r="A45" t="s">
        <v>114</v>
      </c>
      <c r="B45" t="s">
        <v>149</v>
      </c>
      <c r="C45" t="s">
        <v>115</v>
      </c>
      <c r="D45" s="1">
        <v>7</v>
      </c>
      <c r="E45" s="1">
        <v>1.28</v>
      </c>
      <c r="F45" s="1">
        <f>E45/D45</f>
        <v>0.18285714285714286</v>
      </c>
      <c r="G45" s="2" t="s">
        <v>78</v>
      </c>
      <c r="H45" s="4">
        <f>D45-E45</f>
        <v>5.72</v>
      </c>
      <c r="I45" s="3">
        <f>E45+F45</f>
        <v>1.4628571428571429</v>
      </c>
      <c r="J45" t="s">
        <v>116</v>
      </c>
    </row>
    <row r="46" spans="1:10" x14ac:dyDescent="0.35">
      <c r="A46" t="s">
        <v>117</v>
      </c>
      <c r="B46" t="s">
        <v>150</v>
      </c>
      <c r="C46" t="s">
        <v>100</v>
      </c>
      <c r="D46" s="1">
        <v>16.399999999999999</v>
      </c>
      <c r="E46" s="1">
        <v>11</v>
      </c>
      <c r="F46" s="1">
        <f>E46/D46</f>
        <v>0.67073170731707321</v>
      </c>
      <c r="G46" s="2" t="s">
        <v>78</v>
      </c>
      <c r="H46" s="4">
        <f>D46-E46</f>
        <v>5.3999999999999986</v>
      </c>
      <c r="I46" s="3">
        <f>E46+F46</f>
        <v>11.670731707317072</v>
      </c>
      <c r="J46" t="s">
        <v>118</v>
      </c>
    </row>
    <row r="47" spans="1:10" x14ac:dyDescent="0.35">
      <c r="A47" t="s">
        <v>119</v>
      </c>
      <c r="B47" t="s">
        <v>120</v>
      </c>
      <c r="C47" t="s">
        <v>13</v>
      </c>
      <c r="D47" s="1">
        <v>11.628539999999999</v>
      </c>
      <c r="E47" t="s">
        <v>13</v>
      </c>
      <c r="F47" t="s">
        <v>13</v>
      </c>
      <c r="G47" s="2" t="s">
        <v>78</v>
      </c>
      <c r="H47" s="4">
        <f>D47*0.9</f>
        <v>10.465686</v>
      </c>
      <c r="I47" s="3">
        <f>D47*1.1</f>
        <v>12.791394</v>
      </c>
      <c r="J47" t="s">
        <v>121</v>
      </c>
    </row>
    <row r="48" spans="1:10" x14ac:dyDescent="0.35">
      <c r="A48" t="s">
        <v>122</v>
      </c>
      <c r="B48" t="s">
        <v>123</v>
      </c>
      <c r="C48" t="s">
        <v>96</v>
      </c>
      <c r="D48" s="1">
        <v>4.4999999999999997E-3</v>
      </c>
      <c r="E48" s="1">
        <v>5.0000000000000001E-4</v>
      </c>
      <c r="F48" s="1">
        <f>E48/D48</f>
        <v>0.11111111111111112</v>
      </c>
      <c r="G48" s="2" t="s">
        <v>78</v>
      </c>
      <c r="H48" s="4">
        <f>D48-E48</f>
        <v>4.0000000000000001E-3</v>
      </c>
      <c r="I48" s="3">
        <f>E48+F48</f>
        <v>0.11161111111111112</v>
      </c>
      <c r="J48" t="s">
        <v>124</v>
      </c>
    </row>
    <row r="49" spans="1:10" x14ac:dyDescent="0.35">
      <c r="A49" t="s">
        <v>125</v>
      </c>
      <c r="B49" t="s">
        <v>126</v>
      </c>
      <c r="C49" t="s">
        <v>100</v>
      </c>
      <c r="D49" s="1">
        <v>47</v>
      </c>
      <c r="E49" s="1">
        <v>15</v>
      </c>
      <c r="F49" s="1">
        <f>E49/D49</f>
        <v>0.31914893617021278</v>
      </c>
      <c r="G49" s="2" t="s">
        <v>78</v>
      </c>
      <c r="H49" s="4">
        <f>D49-E49</f>
        <v>32</v>
      </c>
      <c r="I49" s="3">
        <f>E49+F49</f>
        <v>15.319148936170214</v>
      </c>
      <c r="J49" t="s">
        <v>124</v>
      </c>
    </row>
    <row r="50" spans="1:10" x14ac:dyDescent="0.35">
      <c r="A50" t="s">
        <v>148</v>
      </c>
      <c r="B50" t="s">
        <v>147</v>
      </c>
      <c r="C50" t="s">
        <v>13</v>
      </c>
      <c r="D50" s="1">
        <v>5126984.1269841297</v>
      </c>
      <c r="E50" t="s">
        <v>13</v>
      </c>
      <c r="F50" t="s">
        <v>13</v>
      </c>
      <c r="G50" s="2" t="s">
        <v>78</v>
      </c>
      <c r="H50" s="4">
        <f>D50*0.9</f>
        <v>4614285.7142857164</v>
      </c>
      <c r="I50" s="3">
        <f>D50*1.1</f>
        <v>5639682.5396825429</v>
      </c>
      <c r="J50" t="s">
        <v>127</v>
      </c>
    </row>
    <row r="51" spans="1:10" x14ac:dyDescent="0.35">
      <c r="A51" t="s">
        <v>128</v>
      </c>
      <c r="B51" t="s">
        <v>135</v>
      </c>
      <c r="C51" t="s">
        <v>129</v>
      </c>
      <c r="D51" s="1">
        <v>365</v>
      </c>
      <c r="E51" t="s">
        <v>13</v>
      </c>
      <c r="F51" t="s">
        <v>13</v>
      </c>
      <c r="G51" s="2" t="s">
        <v>78</v>
      </c>
      <c r="H51" s="3">
        <f>D51*0.9</f>
        <v>328.5</v>
      </c>
      <c r="I51" s="3">
        <f>D51*1.1</f>
        <v>401.50000000000006</v>
      </c>
      <c r="J51" t="s">
        <v>13</v>
      </c>
    </row>
    <row r="52" spans="1:10" x14ac:dyDescent="0.35">
      <c r="A52" t="s">
        <v>130</v>
      </c>
      <c r="B52" t="s">
        <v>134</v>
      </c>
      <c r="C52" t="s">
        <v>131</v>
      </c>
      <c r="D52" s="1">
        <v>4.1799999999999997E-2</v>
      </c>
      <c r="E52" t="s">
        <v>13</v>
      </c>
      <c r="F52" t="s">
        <v>13</v>
      </c>
      <c r="G52" s="2" t="s">
        <v>78</v>
      </c>
      <c r="H52" s="3">
        <v>1.2899999999999999E-3</v>
      </c>
      <c r="I52" s="3">
        <v>0.22900000000000001</v>
      </c>
      <c r="J52" t="s">
        <v>132</v>
      </c>
    </row>
  </sheetData>
  <autoFilter ref="A1:J52" xr:uid="{CE34F6B3-7424-4572-8CEB-2855C0B6D4A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08e2132e63c6ee1d6b0a0758f6c0554f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0ed1ebf33a67d32129b0ef2e0882217b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E687C-9DB1-4722-8D88-EAA6C91461CA}"/>
</file>

<file path=customXml/itemProps2.xml><?xml version="1.0" encoding="utf-8"?>
<ds:datastoreItem xmlns:ds="http://schemas.openxmlformats.org/officeDocument/2006/customXml" ds:itemID="{70848A26-3E3F-44DC-9272-0A542831B603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customXml/itemProps3.xml><?xml version="1.0" encoding="utf-8"?>
<ds:datastoreItem xmlns:ds="http://schemas.openxmlformats.org/officeDocument/2006/customXml" ds:itemID="{855838D0-6EC9-4E1E-A9DC-A57315143F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Parameters.GSA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2025-06-16T09:49:34Z</dcterms:created>
  <dcterms:modified xsi:type="dcterms:W3CDTF">2026-01-13T08:27:37Z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